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B1\Documents\GitHub\Fieldable-NV-Center\system_development\V0.2\Optical Table CAD Files\Helmholtz Cage Assembly\"/>
    </mc:Choice>
  </mc:AlternateContent>
  <xr:revisionPtr revIDLastSave="0" documentId="8_{8816477F-11A2-4DF7-ADA8-4604F23BCD6B}" xr6:coauthVersionLast="47" xr6:coauthVersionMax="47" xr10:uidLastSave="{00000000-0000-0000-0000-000000000000}"/>
  <bookViews>
    <workbookView xWindow="28680" yWindow="-120" windowWidth="29040" windowHeight="15720" xr2:uid="{430E4448-000C-42A0-B3A6-C78EC43BEF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9" i="1" l="1"/>
  <c r="D9" i="1" s="1"/>
  <c r="G2" i="1"/>
  <c r="F2" i="1"/>
  <c r="F4" i="1" s="1"/>
  <c r="B2" i="1"/>
  <c r="A2" i="1" s="1"/>
  <c r="H2" i="1" l="1"/>
  <c r="H4" i="1"/>
  <c r="F6" i="1"/>
  <c r="C4" i="1"/>
  <c r="B4" i="1" s="1"/>
  <c r="A4" i="1" s="1"/>
  <c r="H6" i="1" l="1"/>
  <c r="C6" i="1"/>
  <c r="B6" i="1" s="1"/>
  <c r="A6" i="1" s="1"/>
</calcChain>
</file>

<file path=xl/sharedStrings.xml><?xml version="1.0" encoding="utf-8"?>
<sst xmlns="http://schemas.openxmlformats.org/spreadsheetml/2006/main" count="31" uniqueCount="21">
  <si>
    <t>Ls</t>
  </si>
  <si>
    <t>E</t>
  </si>
  <si>
    <t>Height</t>
  </si>
  <si>
    <t>Hls</t>
  </si>
  <si>
    <t>Hlm</t>
  </si>
  <si>
    <t>Lm</t>
  </si>
  <si>
    <t>Ll</t>
  </si>
  <si>
    <t>Ts</t>
  </si>
  <si>
    <t>Gap</t>
  </si>
  <si>
    <t>Tm</t>
  </si>
  <si>
    <t>half internal length</t>
  </si>
  <si>
    <t>Diameter to Coil Center</t>
  </si>
  <si>
    <t>150 Wraps</t>
  </si>
  <si>
    <t>1mT = 1A</t>
  </si>
  <si>
    <t>New</t>
  </si>
  <si>
    <t>Coil</t>
  </si>
  <si>
    <t>mT</t>
  </si>
  <si>
    <t>8A</t>
  </si>
  <si>
    <t>8mT</t>
  </si>
  <si>
    <t>5.2A</t>
  </si>
  <si>
    <t>5.2mT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</si>
</sst>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EA13F-0CE6-4602-A8D7-9EFDABB40DFA}">
  <dimension ref="A1:H25"/>
  <sheetViews>
    <sheetView tabSelected="1" workbookViewId="0">
      <selection activeCell="C18" sqref="C18"/>
    </sheetView>
  </sheetViews>
  <sheetFormatPr defaultRowHeight="15" x14ac:dyDescent="0.25"/>
  <cols>
    <col min="1" max="1" width="21.42578125" bestFit="1" customWidth="1"/>
  </cols>
  <sheetData>
    <row r="1" spans="1:8" x14ac:dyDescent="0.25">
      <c r="A1" t="s">
        <v>11</v>
      </c>
      <c r="B1" t="s">
        <v>3</v>
      </c>
      <c r="C1" t="s">
        <v>0</v>
      </c>
      <c r="D1" t="s">
        <v>1</v>
      </c>
      <c r="E1" t="s">
        <v>2</v>
      </c>
      <c r="F1" t="s">
        <v>7</v>
      </c>
      <c r="G1" t="s">
        <v>8</v>
      </c>
      <c r="H1" t="s">
        <v>10</v>
      </c>
    </row>
    <row r="2" spans="1:8" x14ac:dyDescent="0.25">
      <c r="A2">
        <f>B2*2/0.5445</f>
        <v>302.40000000000003</v>
      </c>
      <c r="B2">
        <f>(C2+D2*2-E2)*0.5445*0.5</f>
        <v>82.328400000000002</v>
      </c>
      <c r="C2">
        <v>275</v>
      </c>
      <c r="D2">
        <v>26.4</v>
      </c>
      <c r="E2">
        <v>25.4</v>
      </c>
      <c r="F2">
        <f>C2+2*D2</f>
        <v>327.8</v>
      </c>
      <c r="G2">
        <f>E2+2</f>
        <v>27.4</v>
      </c>
      <c r="H2">
        <f>(F2-2*E2)*0.5</f>
        <v>138.5</v>
      </c>
    </row>
    <row r="3" spans="1:8" x14ac:dyDescent="0.25">
      <c r="B3" t="s">
        <v>4</v>
      </c>
      <c r="C3" t="s">
        <v>5</v>
      </c>
      <c r="D3" t="s">
        <v>1</v>
      </c>
      <c r="E3" t="s">
        <v>2</v>
      </c>
      <c r="F3" t="s">
        <v>9</v>
      </c>
      <c r="H3" t="s">
        <v>10</v>
      </c>
    </row>
    <row r="4" spans="1:8" x14ac:dyDescent="0.25">
      <c r="A4">
        <f>B4*2/0.5445</f>
        <v>357.20000000000005</v>
      </c>
      <c r="B4">
        <f>(C4+D4*2-E4)*0.5445*0.5</f>
        <v>97.247700000000009</v>
      </c>
      <c r="C4">
        <f>F4-2*D4</f>
        <v>329.8</v>
      </c>
      <c r="D4">
        <v>26.4</v>
      </c>
      <c r="E4">
        <v>25.4</v>
      </c>
      <c r="F4">
        <f>F2+2*G2</f>
        <v>382.6</v>
      </c>
      <c r="H4">
        <f>(F4-2*E4)*0.5</f>
        <v>165.9</v>
      </c>
    </row>
    <row r="5" spans="1:8" x14ac:dyDescent="0.25">
      <c r="B5" t="s">
        <v>4</v>
      </c>
      <c r="C5" t="s">
        <v>6</v>
      </c>
      <c r="D5" t="s">
        <v>1</v>
      </c>
      <c r="E5" t="s">
        <v>2</v>
      </c>
      <c r="F5" t="s">
        <v>9</v>
      </c>
      <c r="H5" t="s">
        <v>10</v>
      </c>
    </row>
    <row r="6" spans="1:8" x14ac:dyDescent="0.25">
      <c r="A6">
        <f>B6*2/0.5445</f>
        <v>412.00000000000006</v>
      </c>
      <c r="B6">
        <f>(C6+D6*2-E6)*0.5445*0.5</f>
        <v>112.16700000000002</v>
      </c>
      <c r="C6">
        <f>F6-2*D6</f>
        <v>384.6</v>
      </c>
      <c r="D6">
        <v>26.4</v>
      </c>
      <c r="E6">
        <v>25.4</v>
      </c>
      <c r="F6">
        <f>F4+2*G2</f>
        <v>437.40000000000003</v>
      </c>
      <c r="H6">
        <f>(F6-2*E6)*0.5</f>
        <v>193.3</v>
      </c>
    </row>
    <row r="9" spans="1:8" x14ac:dyDescent="0.25">
      <c r="B9">
        <v>97</v>
      </c>
      <c r="C9">
        <f>B9-12.7</f>
        <v>84.3</v>
      </c>
      <c r="D9">
        <f>C9/25.4</f>
        <v>3.3188976377952755</v>
      </c>
    </row>
    <row r="11" spans="1:8" x14ac:dyDescent="0.25">
      <c r="C11">
        <v>69.581000000000003</v>
      </c>
    </row>
    <row r="22" spans="2:5" x14ac:dyDescent="0.25">
      <c r="B22" t="s">
        <v>13</v>
      </c>
      <c r="D22" t="s">
        <v>14</v>
      </c>
    </row>
    <row r="23" spans="2:5" x14ac:dyDescent="0.25">
      <c r="B23" t="s">
        <v>12</v>
      </c>
      <c r="C23" t="s">
        <v>16</v>
      </c>
      <c r="D23" t="s">
        <v>15</v>
      </c>
    </row>
    <row r="24" spans="2:5" x14ac:dyDescent="0.25">
      <c r="B24" t="s">
        <v>17</v>
      </c>
      <c r="C24" t="s">
        <v>18</v>
      </c>
    </row>
    <row r="25" spans="2:5" x14ac:dyDescent="0.25">
      <c r="B25" t="s">
        <v>19</v>
      </c>
      <c r="C25" t="s">
        <v>20</v>
      </c>
      <c r="D25" t="s">
        <v>19</v>
      </c>
      <c r="E2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Bailey, Patrick</dc:creator>
  <cp:lastModifiedBy>Bailey, Patrick</cp:lastModifiedBy>
  <dcterms:created xsi:type="dcterms:W3CDTF">2026-09-09T14:33:32Z</dcterms:created>
  <dcterms:modified xsi:type="dcterms:W3CDTF">2026-09-14T22:09:35Z</dcterms:modified>
</cp:coreProperties>
</file>