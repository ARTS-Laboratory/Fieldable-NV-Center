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027168005bd3d0/Desktop/"/>
    </mc:Choice>
  </mc:AlternateContent>
  <xr:revisionPtr revIDLastSave="1" documentId="13_ncr:1_{755B4C13-B223-434B-B2AB-C73C191B927A}" xr6:coauthVersionLast="47" xr6:coauthVersionMax="47" xr10:uidLastSave="{34D7EF5D-3ECB-46C0-B9D1-26FAD05DDD26}"/>
  <bookViews>
    <workbookView xWindow="-108" yWindow="-108" windowWidth="23256" windowHeight="12456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0" i="1"/>
  <c r="G21" i="1"/>
  <c r="G22" i="1"/>
  <c r="G23" i="1"/>
  <c r="G19" i="1"/>
  <c r="G10" i="1"/>
  <c r="G11" i="1"/>
  <c r="G12" i="1"/>
  <c r="G13" i="1"/>
  <c r="G14" i="1"/>
  <c r="G15" i="1"/>
  <c r="G16" i="1"/>
  <c r="G17" i="1"/>
  <c r="G18" i="1"/>
  <c r="G9" i="1"/>
  <c r="G8" i="1"/>
  <c r="G47" i="1" s="1"/>
</calcChain>
</file>

<file path=xl/sharedStrings.xml><?xml version="1.0" encoding="utf-8"?>
<sst xmlns="http://schemas.openxmlformats.org/spreadsheetml/2006/main" count="235" uniqueCount="188">
  <si>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</si>
  <si>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</si>
  <si>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</si>
  <si>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</si>
  <si>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</si>
  <si>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</si>
  <si>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</si>
  <si>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</si>
  <si>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</si>
  <si>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</si>
  <si>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</si>
  <si>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</si>
  <si>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Primary or Alternative Part</t>
  </si>
  <si>
    <t>532 nm Diode-Pumped Solid State (DPSS) Lasers</t>
  </si>
  <si>
    <t>DJ532-10</t>
  </si>
  <si>
    <t>https://www.thorlabs.com/item/DJ532-10?aID=972dd12f8a3eb31bbd30b717692f2777&amp;aC=1</t>
  </si>
  <si>
    <t>Primary</t>
  </si>
  <si>
    <t>green laser diode</t>
  </si>
  <si>
    <t>LDM9T</t>
  </si>
  <si>
    <t>Qty. per Setup</t>
  </si>
  <si>
    <t>Total Cost (Per Setup)</t>
  </si>
  <si>
    <t>https://www.thorlabs.com/item/LDM9T</t>
  </si>
  <si>
    <t>Laser Diode Mount with Integrated Temperature Controller</t>
  </si>
  <si>
    <t>K-Cube® Laser Diode Driver</t>
  </si>
  <si>
    <t>KLD101</t>
  </si>
  <si>
    <t>https://www.thorlabs.com/item/KLD101</t>
  </si>
  <si>
    <t>TPS002</t>
  </si>
  <si>
    <t>Power Supply Unit with Mini-DIN Connectors for up to Two K- or T-Cubes</t>
  </si>
  <si>
    <t>https://www.thorlabs.com/item/TPS002</t>
  </si>
  <si>
    <t>9-Pin D-Sub Cable</t>
  </si>
  <si>
    <t>CAB400</t>
  </si>
  <si>
    <t>Cable; Current Controller with 9-Pin D-Sub Connector, 1.5 m</t>
  </si>
  <si>
    <t>https://www.thorlabs.com/item/CAB400</t>
  </si>
  <si>
    <t>CPS532</t>
  </si>
  <si>
    <t>Collimated Laser-Diode-Pumped DPSS Laser Module, 532 nm, 4.5 mW</t>
  </si>
  <si>
    <t>https://www.thorlabs.com/item/CPS532?aID=0ad63fed1b5f0777515e4230540db53e&amp;aC=1</t>
  </si>
  <si>
    <t>Alternative</t>
  </si>
  <si>
    <t>Kinematic Mirror Mount for Ø1" Optics</t>
  </si>
  <si>
    <t>KM100</t>
  </si>
  <si>
    <t>https://www.thorlabs.com/item/KM100?aID=9bdc297adb383714d0fe9d4dc6fbbee1&amp;aC=1</t>
  </si>
  <si>
    <t>Ø1" Unthreaded Adapter for Ø11 mm Cylindrical Components</t>
  </si>
  <si>
    <t>AD11NT</t>
  </si>
  <si>
    <t>https://www.thorlabs.com/item/AD11NT?aID=43325ff7e5bcd70787a3f9fff7bfa690&amp;aC=1</t>
  </si>
  <si>
    <t xml:space="preserve"> Diamond </t>
  </si>
  <si>
    <t>Single-Crystal Diamond, Nitrogen-Vacancy Center Density: 300 ppb</t>
  </si>
  <si>
    <t>DNVB1</t>
  </si>
  <si>
    <t>https://www.thorlabs.com/item/DNVB1?aID=6d0bcdec5a9b6674756c3e29c31a08ae&amp;aC=1</t>
  </si>
  <si>
    <t>Single-Crystal Diamond, Nitrogen-Vacancy Center Density: 4.5 ppm</t>
  </si>
  <si>
    <t>DNVB14</t>
  </si>
  <si>
    <t>https://www.thorlabs.com/item/DNVB14?aID=6d0bcdec5a9b6674756c3e29c31a08ae&amp;aC=1</t>
  </si>
  <si>
    <t>BB1-E02P</t>
  </si>
  <si>
    <t>Ø1" Back Side Polished, Broadband Dielectric Mirror, 400 - 750 nm</t>
  </si>
  <si>
    <t>https://www.thorlabs.com/item/BB1-E02P?aID=256bfd559a33203235ce5e388e7c8afd&amp;aC=1</t>
  </si>
  <si>
    <t>AOM</t>
  </si>
  <si>
    <t>Acousto-Optic Modulator</t>
  </si>
  <si>
    <t xml:space="preserve">ISOMET IMD80H-2 </t>
  </si>
  <si>
    <t>https://isomet.com/ManAo.html</t>
  </si>
  <si>
    <t>Lens Mount with Retaining Ring for Ø1" Optics</t>
  </si>
  <si>
    <t>LMR1</t>
  </si>
  <si>
    <t>https://www.thorlabs.com/item/LMR1?aID=9403b30dba8a5381a0cd3939d3143f24&amp;aC=1</t>
  </si>
  <si>
    <t>Optical Power and Energy Meter Console, 3.5" Touchscreen</t>
  </si>
  <si>
    <t>PM100D2</t>
  </si>
  <si>
    <t>https://www.thorlabs.com/item/PM100D2?aID=792504dca415ac37341324f1ad52092c&amp;aC=1</t>
  </si>
  <si>
    <t>Standard Photodiode Power Sensor, Si, 400 - 1100 nm, 50 nW - 50 mW</t>
  </si>
  <si>
    <t>S120C</t>
  </si>
  <si>
    <t>https://www.thorlabs.com/item/S120C?aID=3e842f35ce23c688854f281f2bfc5a66&amp;aC=1</t>
  </si>
  <si>
    <t>Laser diode mount</t>
  </si>
  <si>
    <t>Laser diode driver</t>
  </si>
  <si>
    <t>Laser diode driver power supply</t>
  </si>
  <si>
    <t>Collimated laser module</t>
  </si>
  <si>
    <t>Kinematic mirror mount</t>
  </si>
  <si>
    <t>Unthreaded adapter</t>
  </si>
  <si>
    <t>Reflective mirror</t>
  </si>
  <si>
    <t>Lens mount</t>
  </si>
  <si>
    <t>Laser power meter</t>
  </si>
  <si>
    <t>Photodiode power sensor</t>
  </si>
  <si>
    <t>Longpass dichroic mirror</t>
  </si>
  <si>
    <t>DMLP638</t>
  </si>
  <si>
    <t>Ø+F171" Longpass Dichroic Mirror, 638 nm Cut-On</t>
  </si>
  <si>
    <t>https://www.thorlabs.com/item/DMLP638?aID=1159ee861e9176ef68b72f6e4a24eb1a&amp;aC=1</t>
  </si>
  <si>
    <t>Pivoting, Quick-Release, Ø1" Optic Mount for 30 mm Cage System</t>
  </si>
  <si>
    <t>Optic mount for 30 mm cage system</t>
  </si>
  <si>
    <t>CP360Q</t>
  </si>
  <si>
    <t>https://www.thorlabs.com/item/CP360Q?aID=a0d90fb10fd6ff13979f7dfe59ad178f&amp;aC=1</t>
  </si>
  <si>
    <t>Cage Assembly Rod</t>
  </si>
  <si>
    <t>Cage Assembly Rod, 6" Long, Ø6 mm</t>
  </si>
  <si>
    <t>ER6</t>
  </si>
  <si>
    <t>https://www.thorlabs.com/item/ER6?aID=57817a93f723bf4e146c42f45b90670e&amp;aC=1</t>
  </si>
  <si>
    <t>30 mm Cage Plate</t>
  </si>
  <si>
    <t>SM1-Threaded 30 mm Cage Plate, 0.35" Thick, 2 Retaining Rings, 8-32 Tap</t>
  </si>
  <si>
    <t>CP33</t>
  </si>
  <si>
    <t>https://www.thorlabs.com/item/CP33?aID=5edf35bf08279dcc4edb7c356f572ce4&amp;aC=1</t>
  </si>
  <si>
    <t>100X microscope objective</t>
  </si>
  <si>
    <t>MY100X-806</t>
  </si>
  <si>
    <t>100X Mitutoyo Plan Apochromat Objective, 436 - 656 nm, 0.70 NA</t>
  </si>
  <si>
    <t>https://www.thorlabs.com/item/MY100X-806?aID=89a327ab6a0a22e644983c4b6c479528&amp;aC=1</t>
  </si>
  <si>
    <t>Three-axis translation stage</t>
  </si>
  <si>
    <t>25 mm (0.98") Three-Axis Motorized Translation Stage, 1/4"-20 Taps</t>
  </si>
  <si>
    <t>PT3-Z9</t>
  </si>
  <si>
    <t>https://www.thorlabs.com/item/PT3-Z9?aID=1b45621717196be85428da477902376a&amp;aC=1</t>
  </si>
  <si>
    <t>KDC101</t>
  </si>
  <si>
    <t>DC servo motor controller</t>
  </si>
  <si>
    <t>K-Cube Brushed DC Servo Motor Controller</t>
  </si>
  <si>
    <t>https://www.thorlabs.com/item/KDC101?aID=3ef48368b5c1a954e2e3bb34139ff957&amp;aC=1</t>
  </si>
  <si>
    <t>KEH3</t>
  </si>
  <si>
    <t>Ethernet and USB Controller Hub and Power Supply for Three K-Cubes</t>
  </si>
  <si>
    <t>USB controller hub and power supply</t>
  </si>
  <si>
    <t>https://www.thorlabs.com/item/KEH3?aID=e23b1708e311363daddbe26ea0908a69&amp;aC=1</t>
  </si>
  <si>
    <t>Mounted pinhole</t>
  </si>
  <si>
    <t>Ø1" Mounted Pinhole, 100 ± 4 μm Pinhole Diameter, Stainless Steel</t>
  </si>
  <si>
    <t>P100K</t>
  </si>
  <si>
    <t>https://www.thorlabs.com/item/P100K?aID=ad2857f2f1ab8b37e11320cd200d9f75&amp;aC=1</t>
  </si>
  <si>
    <t>XY Translator</t>
  </si>
  <si>
    <t>XY Translator with Differential Drives</t>
  </si>
  <si>
    <t>ST1XY-D</t>
  </si>
  <si>
    <t>https://www.thorlabs.com/item/ST1XY-D?aID=4d8c6ededba527672334262227e0e8ed&amp;aC=1</t>
  </si>
  <si>
    <t>P75K</t>
  </si>
  <si>
    <t>Ø1" Mounted Pinhole, 75 ± 3 μm Pinhole Diameter, Stainless Steel</t>
  </si>
  <si>
    <t>https://www.thorlabs.com/item/P75K?aID=c71dd91d6342db8f3e0d0b4c693e0af4&amp;aC=1</t>
  </si>
  <si>
    <t>WPQ10ME-633</t>
  </si>
  <si>
    <t>Quarter-wave plate</t>
  </si>
  <si>
    <t>Ø1" Mounted Polymer Zero-Order Quarter-Wave Plate, SM1-Threaded Mount</t>
  </si>
  <si>
    <t>https://www.thorlabs.com/item/WPQ10ME-633</t>
  </si>
  <si>
    <t>FELH0650</t>
  </si>
  <si>
    <t>Ø25.0 mm Longpass Filter, Cut-On Wavelength: 650 nm</t>
  </si>
  <si>
    <t>https://www.thorlabs.com/item/FELH0650?aID=021fe801666ee3aaeda28ed7a182de9e&amp;aC=1</t>
  </si>
  <si>
    <t>Shortpass filter</t>
  </si>
  <si>
    <t>Longpass filter</t>
  </si>
  <si>
    <t>Ø25.0 mm Shortpass Filter, Cut-Off Wavelength: 750 nm</t>
  </si>
  <si>
    <t>FESH0750</t>
  </si>
  <si>
    <t>https://www.thorlabs.com/item/FESH0750?aID=03ddb6fdfa71cac32f6b90fefb88fff7&amp;aC=1</t>
  </si>
  <si>
    <t>Optical adapter</t>
  </si>
  <si>
    <t>Adapter with External SM1 Threads and Internal RMS Threads</t>
  </si>
  <si>
    <t>SM1A3</t>
  </si>
  <si>
    <t>https://www.thorlabs.com/item/SM1A3?aID=015620af026c37a6b41e9fc09a08c8c1&amp;aC=1</t>
  </si>
  <si>
    <t>LRM1</t>
  </si>
  <si>
    <t>Rotation Mount for Ø1" (25.4 mm) Optics, External SM1 Threads</t>
  </si>
  <si>
    <t>https://www.thorlabs.com/item/LRM1?aID=ec19e4834c208fa8d7c2c9f63a282e7b&amp;aC=1</t>
  </si>
  <si>
    <t>Bases and post holders</t>
  </si>
  <si>
    <t>Rotation mount</t>
  </si>
  <si>
    <t>Bases and Post Holders Essentials Kit, Imperial and Universal Components</t>
  </si>
  <si>
    <t>ESK01</t>
  </si>
  <si>
    <t>https://www.thorlabs.com/item/ESK01?aID=1226229eb9d3b0094cb91b8911a35a8c&amp;aC=1</t>
  </si>
  <si>
    <t>Optical breadboard</t>
  </si>
  <si>
    <t>UltraLight Series II Breadboard, 30" x 48" x 2.2", 1/4"-20 Taps</t>
  </si>
  <si>
    <t>AHB3048G</t>
  </si>
  <si>
    <t>https://www.thorlabs.com/item/AHB3048G?aID=940ad9dfc0352dea8fea90a22cabc9a0&amp;aC=1</t>
  </si>
  <si>
    <t>Single photon detection module</t>
  </si>
  <si>
    <t>Single Photon Detection Module, 350 - 1100 nm, Ø500 µm Active Area</t>
  </si>
  <si>
    <t>SPDMA</t>
  </si>
  <si>
    <t>https://www.thorlabs.com/item/SPDMA</t>
  </si>
  <si>
    <t>Single Photon Counting Device</t>
  </si>
  <si>
    <t>Single photon counting device</t>
  </si>
  <si>
    <t>SPCNT</t>
  </si>
  <si>
    <t>https://www.thorlabs.com/item/SPCNT?aID=8c3925e703727d8a08628365903f51ec&amp;aC=1</t>
  </si>
  <si>
    <t>Aluminum clamp</t>
  </si>
  <si>
    <t>Aluminum Clamp for Compact Device Housings, 1.00</t>
  </si>
  <si>
    <t>ECM100</t>
  </si>
  <si>
    <t>https://www.thorlabs.com/item/ECM100?aID=c9deab6be70920075885fd75a12ca4d9&amp;aC=1</t>
  </si>
  <si>
    <t>Laptop computer</t>
  </si>
  <si>
    <t>Dell Pro 16 Laptop</t>
  </si>
  <si>
    <t>PC16250</t>
  </si>
  <si>
    <t>https://www.dell.com/en-us/shop/laptop-computers/spd/dellpro16laptoppc16250</t>
  </si>
  <si>
    <t>Dell Pro Universal Docking Station WD25 - USB-C - HDMI, 2 x DP, USB-C - 1GbE, 2.5GbE</t>
  </si>
  <si>
    <t>DELL-WD25</t>
  </si>
  <si>
    <t>https://www.cdwg.com/product/dell-pro-dock-wd25-docking-station-usb-c-hdmi-2-x-dp-usb-c-1gbe/8362104?cm_ven=Email&amp;cm_cat=Transactional&amp;cm_pla=MKT98505adu0000p0000&amp;cm_ite=MKT98505_20260101_CONF_OQW_ORDERCONFIRM_DIGI_0_1-0-1-AMP-1-1-0-0-1_CTRL_A&amp;etsi=18018326&amp;etsu=1051738086</t>
  </si>
  <si>
    <t>LED monitor</t>
  </si>
  <si>
    <t>LED monitor - Full HD (1080p) - 24"</t>
  </si>
  <si>
    <t xml:space="preserve">Dell Pro E2426HS </t>
  </si>
  <si>
    <t>https://www.cdwg.com/product/dell-pro-e2426hs-led-monitor-full-hd-1080p-24/9226700?cm_ven=Email&amp;cm_cat=Transactional&amp;cm_pla=MKT98505adu0000p0000&amp;cm_ite=MKT98505_20260101_CONF_OQW_ORDERCONFIRM_DIGI_0_1-0-1-AMP-1-1-0-0-1_CTRL_A&amp;etsi=18018326&amp;etsu=1051738086</t>
  </si>
  <si>
    <t>Universal docking station</t>
  </si>
  <si>
    <t>Homemade 3-Axis Helmholtz Coil System</t>
  </si>
  <si>
    <t>Custom-Built Grounded Coplanar Waveguide (GCPW)</t>
  </si>
  <si>
    <t>Coplanar waveguide</t>
  </si>
  <si>
    <t>Helmholtz coil system</t>
  </si>
  <si>
    <t>Microwave isolator</t>
  </si>
  <si>
    <t>T-2S63T-45</t>
  </si>
  <si>
    <t>20dB Microwave Isolator,  2.5-5.0 GHz, SMA Female </t>
  </si>
  <si>
    <t>used</t>
  </si>
  <si>
    <t>Microwave amplifier</t>
  </si>
  <si>
    <t>preferred</t>
  </si>
  <si>
    <t xml:space="preserve">ZHL-10M4G21W0+ </t>
  </si>
  <si>
    <t>Connectorized SMA, High Power, Linear Amplifier, 10 MHz to 4200 MHz, 50Ω</t>
  </si>
  <si>
    <t>https://www.minicircuits.com/WebStore/dashboard.html?model=ZHL-10M4G21W0%2B&amp;srsltid=AU7gw4V6DMLGTrL1OtBK0Qav6Ssm1qiePJz7lz_Ej0NcSQQ1d-GJ8gNY</t>
  </si>
  <si>
    <t xml:space="preserve">0.03-6GHz RF Power Amp 35dB High Gain 2W Output RF Microwave PA w/ </t>
  </si>
  <si>
    <t>PA-0.03-6G-G35P33</t>
  </si>
  <si>
    <t>https://www.aliexpress.us/item/3256811682416431.html?gatewayAdapt=glo2usa4itemAdapt</t>
  </si>
  <si>
    <t>https://www.artisantg.com/93448-1/Teledyne-ADE-T-2S63T-6?srsltid=AU7gw4XNEMGgzwftKMnx5biFnNaDLx9G4aET42T8VpQcZWK-BH7_IYnq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</si>
</sst>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0"/>
      <name val="Aptos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7" fillId="0" borderId="0" xfId="2" applyFont="1" applyAlignment="1">
      <alignment vertical="top"/>
    </xf>
    <xf numFmtId="8" fontId="4" fillId="0" borderId="0" xfId="2" applyNumberFormat="1" applyAlignment="1">
      <alignment vertical="top"/>
    </xf>
    <xf numFmtId="0" fontId="7" fillId="0" borderId="0" xfId="2" applyFont="1" applyAlignment="1">
      <alignment horizontal="left"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orlabs.com/item/DJ532-10?aID=972dd12f8a3eb31bbd30b717692f2777&amp;a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47"/>
  <sheetViews>
    <sheetView tabSelected="1" topLeftCell="A32" zoomScale="115" zoomScaleNormal="85" workbookViewId="0">
      <selection activeCell="I50" sqref="I50"/>
    </sheetView>
  </sheetViews>
  <sheetFormatPr defaultColWidth="8.88671875" defaultRowHeight="14.4" x14ac:dyDescent="0.3"/>
  <cols>
    <col min="1" max="1" width="30.6640625" customWidth="1"/>
    <col min="2" max="2" width="22.6640625" customWidth="1"/>
    <col min="3" max="3" width="62.88671875" customWidth="1"/>
    <col min="4" max="4" width="20.6640625" customWidth="1"/>
    <col min="5" max="5" width="15.88671875" bestFit="1" customWidth="1"/>
    <col min="6" max="6" width="13.44140625" bestFit="1" customWidth="1"/>
    <col min="7" max="7" width="27" customWidth="1"/>
    <col min="8" max="8" width="13" customWidth="1"/>
    <col min="9" max="9" width="87.5546875" customWidth="1"/>
    <col min="10" max="10" width="45.44140625" bestFit="1" customWidth="1"/>
    <col min="11" max="11" width="83.44140625" customWidth="1"/>
    <col min="12" max="12" width="62.44140625" customWidth="1"/>
    <col min="13" max="13" width="55.88671875" customWidth="1"/>
    <col min="14" max="14" width="51" customWidth="1"/>
  </cols>
  <sheetData>
    <row r="1" spans="1:14" ht="15" customHeight="1" x14ac:dyDescent="0.3">
      <c r="A1" s="6" t="s">
        <v>10</v>
      </c>
      <c r="B1" s="6" t="s">
        <v>12</v>
      </c>
      <c r="C1" s="6" t="s">
        <v>11</v>
      </c>
      <c r="D1" s="6" t="s">
        <v>9</v>
      </c>
      <c r="E1" s="6" t="s">
        <v>19</v>
      </c>
      <c r="F1" s="6" t="s">
        <v>0</v>
      </c>
      <c r="G1" s="6" t="s">
        <v>20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3">
      <c r="A2" s="17" t="s">
        <v>17</v>
      </c>
      <c r="B2" s="17" t="s">
        <v>16</v>
      </c>
      <c r="C2" s="2" t="s">
        <v>13</v>
      </c>
      <c r="D2" s="16" t="s">
        <v>14</v>
      </c>
      <c r="E2" s="22">
        <v>1</v>
      </c>
      <c r="F2" s="23">
        <v>188.12</v>
      </c>
      <c r="G2" s="23">
        <v>188.12</v>
      </c>
      <c r="H2" s="5"/>
      <c r="I2" s="1" t="s">
        <v>15</v>
      </c>
      <c r="K2" s="2"/>
    </row>
    <row r="3" spans="1:14" ht="15" customHeight="1" x14ac:dyDescent="0.3">
      <c r="A3" s="2" t="s">
        <v>66</v>
      </c>
      <c r="B3" s="17" t="s">
        <v>16</v>
      </c>
      <c r="C3" t="s">
        <v>22</v>
      </c>
      <c r="D3" s="4" t="s">
        <v>18</v>
      </c>
      <c r="E3" s="18">
        <v>1</v>
      </c>
      <c r="F3" s="9">
        <v>1043.25</v>
      </c>
      <c r="G3" s="9">
        <v>1043.25</v>
      </c>
      <c r="H3" s="5"/>
      <c r="I3" s="1" t="s">
        <v>21</v>
      </c>
      <c r="J3" s="1"/>
    </row>
    <row r="4" spans="1:14" ht="15" customHeight="1" x14ac:dyDescent="0.3">
      <c r="A4" t="s">
        <v>67</v>
      </c>
      <c r="B4" s="17" t="s">
        <v>16</v>
      </c>
      <c r="C4" s="16" t="s">
        <v>23</v>
      </c>
      <c r="D4" s="4" t="s">
        <v>24</v>
      </c>
      <c r="E4" s="18">
        <v>1</v>
      </c>
      <c r="F4" s="9">
        <v>1042.02</v>
      </c>
      <c r="G4" s="9">
        <v>1042.02</v>
      </c>
      <c r="H4" s="5"/>
      <c r="I4" s="20" t="s">
        <v>25</v>
      </c>
      <c r="J4" s="4"/>
      <c r="K4" s="3"/>
      <c r="L4" s="3"/>
    </row>
    <row r="5" spans="1:14" ht="15" customHeight="1" x14ac:dyDescent="0.3">
      <c r="A5" t="s">
        <v>68</v>
      </c>
      <c r="B5" s="17" t="s">
        <v>16</v>
      </c>
      <c r="C5" s="16" t="s">
        <v>27</v>
      </c>
      <c r="D5" s="4" t="s">
        <v>26</v>
      </c>
      <c r="E5" s="18">
        <v>1</v>
      </c>
      <c r="F5" s="9">
        <v>137.27000000000001</v>
      </c>
      <c r="G5" s="9">
        <v>137.27000000000001</v>
      </c>
      <c r="H5" s="5"/>
      <c r="I5" s="1" t="s">
        <v>28</v>
      </c>
      <c r="J5" s="4"/>
      <c r="K5" s="3"/>
      <c r="L5" s="3"/>
    </row>
    <row r="6" spans="1:14" ht="15" customHeight="1" x14ac:dyDescent="0.3">
      <c r="A6" t="s">
        <v>29</v>
      </c>
      <c r="B6" s="17" t="s">
        <v>16</v>
      </c>
      <c r="C6" s="2" t="s">
        <v>31</v>
      </c>
      <c r="D6" s="19" t="s">
        <v>30</v>
      </c>
      <c r="E6" s="2">
        <v>1</v>
      </c>
      <c r="F6" s="9">
        <v>88.34</v>
      </c>
      <c r="G6" s="9">
        <v>88.34</v>
      </c>
      <c r="H6" s="5"/>
      <c r="I6" s="1" t="s">
        <v>32</v>
      </c>
    </row>
    <row r="7" spans="1:14" ht="15" customHeight="1" x14ac:dyDescent="0.3">
      <c r="A7" s="10" t="s">
        <v>69</v>
      </c>
      <c r="B7" s="17" t="s">
        <v>36</v>
      </c>
      <c r="C7" s="2" t="s">
        <v>34</v>
      </c>
      <c r="D7" s="19" t="s">
        <v>33</v>
      </c>
      <c r="E7" s="2">
        <v>1</v>
      </c>
      <c r="F7" s="9">
        <v>202.1</v>
      </c>
      <c r="G7" s="9">
        <v>202.1</v>
      </c>
      <c r="H7" s="5"/>
      <c r="I7" s="1" t="s">
        <v>35</v>
      </c>
      <c r="J7" s="1"/>
    </row>
    <row r="8" spans="1:14" ht="15" customHeight="1" x14ac:dyDescent="0.3">
      <c r="A8" s="10" t="s">
        <v>70</v>
      </c>
      <c r="B8" s="17" t="s">
        <v>16</v>
      </c>
      <c r="C8" s="2" t="s">
        <v>37</v>
      </c>
      <c r="D8" s="19" t="s">
        <v>38</v>
      </c>
      <c r="E8" s="2">
        <v>3</v>
      </c>
      <c r="F8" s="9">
        <v>44.78</v>
      </c>
      <c r="G8" s="9">
        <f>F8*E8</f>
        <v>134.34</v>
      </c>
      <c r="H8" s="5"/>
      <c r="I8" s="1" t="s">
        <v>39</v>
      </c>
      <c r="J8" s="1"/>
    </row>
    <row r="9" spans="1:14" ht="15" customHeight="1" x14ac:dyDescent="0.3">
      <c r="A9" s="10" t="s">
        <v>71</v>
      </c>
      <c r="B9" s="17" t="s">
        <v>16</v>
      </c>
      <c r="C9" s="2" t="s">
        <v>40</v>
      </c>
      <c r="D9" s="19" t="s">
        <v>41</v>
      </c>
      <c r="E9" s="2">
        <v>2</v>
      </c>
      <c r="F9" s="9">
        <v>28.6</v>
      </c>
      <c r="G9" s="9">
        <f>F9*E9</f>
        <v>57.2</v>
      </c>
      <c r="H9" s="5"/>
      <c r="I9" s="1" t="s">
        <v>42</v>
      </c>
      <c r="J9" s="4"/>
    </row>
    <row r="10" spans="1:14" ht="15" customHeight="1" x14ac:dyDescent="0.3">
      <c r="A10" s="10" t="s">
        <v>43</v>
      </c>
      <c r="B10" s="17" t="s">
        <v>16</v>
      </c>
      <c r="C10" s="2" t="s">
        <v>44</v>
      </c>
      <c r="D10" s="19" t="s">
        <v>45</v>
      </c>
      <c r="E10" s="2">
        <v>1</v>
      </c>
      <c r="F10" s="9">
        <v>1897.73</v>
      </c>
      <c r="G10" s="9">
        <f t="shared" ref="G10:G18" si="0">F10*E10</f>
        <v>1897.73</v>
      </c>
      <c r="H10" s="5"/>
      <c r="I10" s="1" t="s">
        <v>46</v>
      </c>
      <c r="J10" s="4"/>
    </row>
    <row r="11" spans="1:14" ht="15" customHeight="1" x14ac:dyDescent="0.3">
      <c r="A11" s="10" t="s">
        <v>43</v>
      </c>
      <c r="B11" s="17" t="s">
        <v>16</v>
      </c>
      <c r="C11" s="4" t="s">
        <v>47</v>
      </c>
      <c r="D11" s="19" t="s">
        <v>48</v>
      </c>
      <c r="E11" s="2">
        <v>1</v>
      </c>
      <c r="F11" s="9">
        <v>4091.98</v>
      </c>
      <c r="G11" s="9">
        <f t="shared" si="0"/>
        <v>4091.98</v>
      </c>
      <c r="H11" s="5"/>
      <c r="I11" s="1" t="s">
        <v>49</v>
      </c>
      <c r="J11" s="4"/>
    </row>
    <row r="12" spans="1:14" ht="15" customHeight="1" x14ac:dyDescent="0.3">
      <c r="A12" s="10" t="s">
        <v>72</v>
      </c>
      <c r="B12" s="17" t="s">
        <v>16</v>
      </c>
      <c r="C12" s="2" t="s">
        <v>51</v>
      </c>
      <c r="D12" s="16" t="s">
        <v>50</v>
      </c>
      <c r="E12" s="2">
        <v>2</v>
      </c>
      <c r="F12" s="9">
        <v>117.1</v>
      </c>
      <c r="G12" s="9">
        <f t="shared" si="0"/>
        <v>234.2</v>
      </c>
      <c r="H12" s="5"/>
      <c r="I12" s="1" t="s">
        <v>52</v>
      </c>
      <c r="J12" s="4"/>
    </row>
    <row r="13" spans="1:14" ht="15" customHeight="1" x14ac:dyDescent="0.3">
      <c r="A13" s="10" t="s">
        <v>53</v>
      </c>
      <c r="B13" s="17" t="s">
        <v>16</v>
      </c>
      <c r="C13" s="2" t="s">
        <v>54</v>
      </c>
      <c r="D13" s="19" t="s">
        <v>55</v>
      </c>
      <c r="E13" s="2">
        <v>1</v>
      </c>
      <c r="F13" s="9">
        <v>120</v>
      </c>
      <c r="G13" s="9">
        <f t="shared" si="0"/>
        <v>120</v>
      </c>
      <c r="H13" s="5"/>
      <c r="I13" s="1" t="s">
        <v>56</v>
      </c>
      <c r="J13" s="4"/>
    </row>
    <row r="14" spans="1:14" ht="15" customHeight="1" x14ac:dyDescent="0.3">
      <c r="A14" s="10" t="s">
        <v>73</v>
      </c>
      <c r="B14" s="17" t="s">
        <v>16</v>
      </c>
      <c r="C14" s="2" t="s">
        <v>57</v>
      </c>
      <c r="D14" s="16" t="s">
        <v>58</v>
      </c>
      <c r="E14" s="2">
        <v>1</v>
      </c>
      <c r="F14" s="9">
        <v>17.62</v>
      </c>
      <c r="G14" s="9">
        <f t="shared" si="0"/>
        <v>17.62</v>
      </c>
      <c r="H14" s="5"/>
      <c r="I14" s="1" t="s">
        <v>59</v>
      </c>
      <c r="J14" s="4"/>
    </row>
    <row r="15" spans="1:14" ht="15" customHeight="1" x14ac:dyDescent="0.3">
      <c r="A15" s="10" t="s">
        <v>74</v>
      </c>
      <c r="B15" s="17" t="s">
        <v>16</v>
      </c>
      <c r="C15" s="2" t="s">
        <v>60</v>
      </c>
      <c r="D15" s="19" t="s">
        <v>61</v>
      </c>
      <c r="E15" s="2">
        <v>1</v>
      </c>
      <c r="F15" s="9">
        <v>1350</v>
      </c>
      <c r="G15" s="9">
        <f t="shared" si="0"/>
        <v>1350</v>
      </c>
      <c r="H15" s="5"/>
      <c r="I15" s="1" t="s">
        <v>62</v>
      </c>
    </row>
    <row r="16" spans="1:14" ht="15" customHeight="1" x14ac:dyDescent="0.3">
      <c r="A16" s="10" t="s">
        <v>75</v>
      </c>
      <c r="B16" s="17" t="s">
        <v>16</v>
      </c>
      <c r="C16" s="2" t="s">
        <v>63</v>
      </c>
      <c r="D16" s="19" t="s">
        <v>64</v>
      </c>
      <c r="E16" s="2">
        <v>1</v>
      </c>
      <c r="F16" s="9">
        <v>381.34</v>
      </c>
      <c r="G16" s="9">
        <f t="shared" si="0"/>
        <v>381.34</v>
      </c>
      <c r="H16" s="5"/>
      <c r="I16" s="3" t="s">
        <v>65</v>
      </c>
      <c r="J16" s="3"/>
    </row>
    <row r="17" spans="1:11" ht="15" customHeight="1" x14ac:dyDescent="0.3">
      <c r="A17" s="10" t="s">
        <v>76</v>
      </c>
      <c r="B17" s="17" t="s">
        <v>16</v>
      </c>
      <c r="C17" s="2" t="s">
        <v>78</v>
      </c>
      <c r="D17" s="4" t="s">
        <v>77</v>
      </c>
      <c r="E17" s="2">
        <v>1</v>
      </c>
      <c r="F17" s="8">
        <v>214.81</v>
      </c>
      <c r="G17" s="9">
        <f t="shared" si="0"/>
        <v>214.81</v>
      </c>
      <c r="H17" s="5"/>
      <c r="I17" s="3" t="s">
        <v>79</v>
      </c>
      <c r="J17" s="4"/>
    </row>
    <row r="18" spans="1:11" ht="15" customHeight="1" x14ac:dyDescent="0.3">
      <c r="A18" s="24" t="s">
        <v>81</v>
      </c>
      <c r="B18" s="17" t="s">
        <v>16</v>
      </c>
      <c r="C18" s="11" t="s">
        <v>80</v>
      </c>
      <c r="D18" s="11" t="s">
        <v>82</v>
      </c>
      <c r="E18" s="12">
        <v>1</v>
      </c>
      <c r="F18" s="13">
        <v>119.18</v>
      </c>
      <c r="G18" s="9">
        <f t="shared" si="0"/>
        <v>119.18</v>
      </c>
      <c r="H18" s="11"/>
      <c r="I18" s="3" t="s">
        <v>83</v>
      </c>
      <c r="J18" s="11"/>
      <c r="K18" s="11"/>
    </row>
    <row r="19" spans="1:11" ht="15" customHeight="1" x14ac:dyDescent="0.3">
      <c r="A19" s="11" t="s">
        <v>84</v>
      </c>
      <c r="B19" s="17" t="s">
        <v>16</v>
      </c>
      <c r="C19" s="11" t="s">
        <v>85</v>
      </c>
      <c r="D19" s="11" t="s">
        <v>86</v>
      </c>
      <c r="E19" s="12">
        <v>8</v>
      </c>
      <c r="F19" s="13">
        <v>10.02</v>
      </c>
      <c r="G19" s="9">
        <f>F19*E19</f>
        <v>80.16</v>
      </c>
      <c r="H19" s="11"/>
      <c r="I19" s="3" t="s">
        <v>87</v>
      </c>
      <c r="J19" s="11"/>
      <c r="K19" s="11"/>
    </row>
    <row r="20" spans="1:11" ht="15" customHeight="1" x14ac:dyDescent="0.3">
      <c r="A20" s="11" t="s">
        <v>88</v>
      </c>
      <c r="B20" s="17" t="s">
        <v>16</v>
      </c>
      <c r="C20" s="11" t="s">
        <v>89</v>
      </c>
      <c r="D20" s="11" t="s">
        <v>90</v>
      </c>
      <c r="E20" s="12">
        <v>3</v>
      </c>
      <c r="F20" s="13">
        <v>20.43</v>
      </c>
      <c r="G20" s="9">
        <f t="shared" ref="G20:G37" si="1">F20*E20</f>
        <v>61.29</v>
      </c>
      <c r="H20" s="11"/>
      <c r="I20" s="3" t="s">
        <v>91</v>
      </c>
      <c r="J20" s="11"/>
      <c r="K20" s="11"/>
    </row>
    <row r="21" spans="1:11" ht="15" customHeight="1" x14ac:dyDescent="0.3">
      <c r="A21" s="24" t="s">
        <v>92</v>
      </c>
      <c r="B21" s="17" t="s">
        <v>16</v>
      </c>
      <c r="C21" s="24" t="s">
        <v>94</v>
      </c>
      <c r="D21" s="11" t="s">
        <v>93</v>
      </c>
      <c r="E21" s="12">
        <v>1</v>
      </c>
      <c r="F21" s="13">
        <v>4406.82</v>
      </c>
      <c r="G21" s="9">
        <f t="shared" si="1"/>
        <v>4406.82</v>
      </c>
      <c r="H21" s="11"/>
      <c r="I21" s="3" t="s">
        <v>95</v>
      </c>
      <c r="J21" s="11"/>
      <c r="K21" s="11"/>
    </row>
    <row r="22" spans="1:11" ht="15" customHeight="1" x14ac:dyDescent="0.3">
      <c r="A22" s="24" t="s">
        <v>96</v>
      </c>
      <c r="B22" s="17" t="s">
        <v>16</v>
      </c>
      <c r="C22" s="11" t="s">
        <v>97</v>
      </c>
      <c r="D22" s="11" t="s">
        <v>98</v>
      </c>
      <c r="E22" s="12">
        <v>1</v>
      </c>
      <c r="F22" s="13">
        <v>3764.68</v>
      </c>
      <c r="G22" s="9">
        <f t="shared" si="1"/>
        <v>3764.68</v>
      </c>
      <c r="H22" s="11"/>
      <c r="I22" s="3" t="s">
        <v>99</v>
      </c>
      <c r="J22" s="11"/>
      <c r="K22" s="11"/>
    </row>
    <row r="23" spans="1:11" ht="15" customHeight="1" x14ac:dyDescent="0.3">
      <c r="A23" s="24" t="s">
        <v>101</v>
      </c>
      <c r="B23" s="17" t="s">
        <v>16</v>
      </c>
      <c r="C23" s="11" t="s">
        <v>102</v>
      </c>
      <c r="D23" s="11" t="s">
        <v>100</v>
      </c>
      <c r="E23" s="12">
        <v>3</v>
      </c>
      <c r="F23" s="13">
        <v>826.75</v>
      </c>
      <c r="G23" s="9">
        <f t="shared" si="1"/>
        <v>2480.25</v>
      </c>
      <c r="H23" s="11"/>
      <c r="I23" s="3" t="s">
        <v>103</v>
      </c>
      <c r="J23" s="11"/>
      <c r="K23" s="11"/>
    </row>
    <row r="24" spans="1:11" ht="15" customHeight="1" x14ac:dyDescent="0.3">
      <c r="A24" s="24" t="s">
        <v>106</v>
      </c>
      <c r="B24" s="17" t="s">
        <v>16</v>
      </c>
      <c r="C24" s="11" t="s">
        <v>105</v>
      </c>
      <c r="D24" s="11" t="s">
        <v>104</v>
      </c>
      <c r="E24" s="12">
        <v>1</v>
      </c>
      <c r="F24" s="13">
        <v>662.5</v>
      </c>
      <c r="G24" s="9">
        <f t="shared" si="1"/>
        <v>662.5</v>
      </c>
      <c r="H24" s="11"/>
      <c r="I24" s="3" t="s">
        <v>107</v>
      </c>
      <c r="J24" s="11"/>
      <c r="K24" s="11"/>
    </row>
    <row r="25" spans="1:11" ht="15" customHeight="1" x14ac:dyDescent="0.3">
      <c r="A25" s="4" t="s">
        <v>108</v>
      </c>
      <c r="B25" s="17" t="s">
        <v>16</v>
      </c>
      <c r="C25" s="4" t="s">
        <v>109</v>
      </c>
      <c r="D25" s="11" t="s">
        <v>110</v>
      </c>
      <c r="E25" s="14">
        <v>1</v>
      </c>
      <c r="F25" s="15">
        <v>84.12</v>
      </c>
      <c r="G25" s="9">
        <f t="shared" si="1"/>
        <v>84.12</v>
      </c>
      <c r="H25" s="4"/>
      <c r="I25" s="3" t="s">
        <v>111</v>
      </c>
    </row>
    <row r="26" spans="1:11" ht="15" customHeight="1" x14ac:dyDescent="0.3">
      <c r="A26" s="4" t="s">
        <v>108</v>
      </c>
      <c r="B26" s="17" t="s">
        <v>36</v>
      </c>
      <c r="C26" s="4" t="s">
        <v>117</v>
      </c>
      <c r="D26" s="11" t="s">
        <v>116</v>
      </c>
      <c r="E26" s="14">
        <v>1</v>
      </c>
      <c r="F26" s="15">
        <v>84.12</v>
      </c>
      <c r="G26" s="9">
        <f t="shared" si="1"/>
        <v>84.12</v>
      </c>
      <c r="H26" s="4"/>
      <c r="I26" s="3" t="s">
        <v>118</v>
      </c>
    </row>
    <row r="27" spans="1:11" ht="15" customHeight="1" x14ac:dyDescent="0.3">
      <c r="A27" s="4" t="s">
        <v>112</v>
      </c>
      <c r="B27" s="17" t="s">
        <v>16</v>
      </c>
      <c r="C27" s="4" t="s">
        <v>113</v>
      </c>
      <c r="D27" s="11" t="s">
        <v>114</v>
      </c>
      <c r="E27" s="14">
        <v>1</v>
      </c>
      <c r="F27" s="15">
        <v>607.58000000000004</v>
      </c>
      <c r="G27" s="9">
        <f t="shared" si="1"/>
        <v>607.58000000000004</v>
      </c>
      <c r="H27" s="4"/>
      <c r="I27" s="3" t="s">
        <v>115</v>
      </c>
    </row>
    <row r="28" spans="1:11" ht="15" customHeight="1" x14ac:dyDescent="0.3">
      <c r="A28" s="4" t="s">
        <v>120</v>
      </c>
      <c r="B28" s="17" t="s">
        <v>16</v>
      </c>
      <c r="C28" s="4" t="s">
        <v>121</v>
      </c>
      <c r="D28" s="11" t="s">
        <v>119</v>
      </c>
      <c r="E28" s="14">
        <v>1</v>
      </c>
      <c r="F28" s="15">
        <v>382.59</v>
      </c>
      <c r="G28" s="9">
        <f t="shared" si="1"/>
        <v>382.59</v>
      </c>
      <c r="H28" s="4"/>
      <c r="I28" s="3" t="s">
        <v>122</v>
      </c>
    </row>
    <row r="29" spans="1:11" ht="15" customHeight="1" x14ac:dyDescent="0.3">
      <c r="A29" s="4" t="s">
        <v>127</v>
      </c>
      <c r="B29" s="17" t="s">
        <v>16</v>
      </c>
      <c r="C29" s="4" t="s">
        <v>124</v>
      </c>
      <c r="D29" s="11" t="s">
        <v>123</v>
      </c>
      <c r="E29" s="14">
        <v>1</v>
      </c>
      <c r="F29" s="15">
        <v>169.26</v>
      </c>
      <c r="G29" s="9">
        <f t="shared" si="1"/>
        <v>169.26</v>
      </c>
      <c r="H29" s="4"/>
      <c r="I29" s="3" t="s">
        <v>125</v>
      </c>
    </row>
    <row r="30" spans="1:11" ht="15" customHeight="1" x14ac:dyDescent="0.3">
      <c r="A30" s="4" t="s">
        <v>126</v>
      </c>
      <c r="B30" s="17" t="s">
        <v>16</v>
      </c>
      <c r="C30" s="4" t="s">
        <v>128</v>
      </c>
      <c r="D30" s="11" t="s">
        <v>129</v>
      </c>
      <c r="E30" s="14">
        <v>1</v>
      </c>
      <c r="F30" s="15">
        <v>169.26</v>
      </c>
      <c r="G30" s="9">
        <f t="shared" si="1"/>
        <v>169.26</v>
      </c>
      <c r="H30" s="4"/>
      <c r="I30" s="3" t="s">
        <v>130</v>
      </c>
    </row>
    <row r="31" spans="1:11" ht="15" customHeight="1" x14ac:dyDescent="0.3">
      <c r="A31" s="4" t="s">
        <v>131</v>
      </c>
      <c r="B31" s="17" t="s">
        <v>16</v>
      </c>
      <c r="C31" s="4" t="s">
        <v>132</v>
      </c>
      <c r="D31" s="11" t="s">
        <v>133</v>
      </c>
      <c r="E31" s="14">
        <v>1</v>
      </c>
      <c r="F31" s="15">
        <v>21.21</v>
      </c>
      <c r="G31" s="9">
        <f t="shared" si="1"/>
        <v>21.21</v>
      </c>
      <c r="H31" s="4"/>
      <c r="I31" s="3" t="s">
        <v>134</v>
      </c>
    </row>
    <row r="32" spans="1:11" ht="15" customHeight="1" x14ac:dyDescent="0.3">
      <c r="A32" s="4" t="s">
        <v>139</v>
      </c>
      <c r="B32" s="17" t="s">
        <v>16</v>
      </c>
      <c r="C32" s="4" t="s">
        <v>136</v>
      </c>
      <c r="D32" s="11" t="s">
        <v>135</v>
      </c>
      <c r="E32" s="14">
        <v>1</v>
      </c>
      <c r="F32" s="15">
        <v>109.65</v>
      </c>
      <c r="G32" s="9">
        <f t="shared" si="1"/>
        <v>109.65</v>
      </c>
      <c r="H32" s="4"/>
      <c r="I32" s="3" t="s">
        <v>137</v>
      </c>
    </row>
    <row r="33" spans="1:9" ht="15" customHeight="1" x14ac:dyDescent="0.3">
      <c r="A33" s="4" t="s">
        <v>138</v>
      </c>
      <c r="B33" s="17" t="s">
        <v>16</v>
      </c>
      <c r="C33" s="4" t="s">
        <v>140</v>
      </c>
      <c r="D33" s="11" t="s">
        <v>141</v>
      </c>
      <c r="E33" s="14">
        <v>1</v>
      </c>
      <c r="F33" s="15">
        <v>960.79</v>
      </c>
      <c r="G33" s="9">
        <f t="shared" si="1"/>
        <v>960.79</v>
      </c>
      <c r="H33" s="4"/>
      <c r="I33" s="3" t="s">
        <v>142</v>
      </c>
    </row>
    <row r="34" spans="1:9" ht="15" customHeight="1" x14ac:dyDescent="0.3">
      <c r="A34" s="4" t="s">
        <v>143</v>
      </c>
      <c r="B34" s="17" t="s">
        <v>16</v>
      </c>
      <c r="C34" s="4" t="s">
        <v>144</v>
      </c>
      <c r="D34" s="11" t="s">
        <v>145</v>
      </c>
      <c r="E34" s="14">
        <v>1</v>
      </c>
      <c r="F34" s="15">
        <v>1925.49</v>
      </c>
      <c r="G34" s="9">
        <f t="shared" si="1"/>
        <v>1925.49</v>
      </c>
      <c r="H34" s="4"/>
      <c r="I34" s="3" t="s">
        <v>146</v>
      </c>
    </row>
    <row r="35" spans="1:9" ht="15" customHeight="1" x14ac:dyDescent="0.3">
      <c r="A35" s="4" t="s">
        <v>147</v>
      </c>
      <c r="B35" s="17" t="s">
        <v>16</v>
      </c>
      <c r="C35" s="4" t="s">
        <v>148</v>
      </c>
      <c r="D35" s="11" t="s">
        <v>149</v>
      </c>
      <c r="E35" s="14">
        <v>1</v>
      </c>
      <c r="F35" s="15">
        <v>5260</v>
      </c>
      <c r="G35" s="9">
        <f t="shared" si="1"/>
        <v>5260</v>
      </c>
      <c r="H35" s="4"/>
      <c r="I35" s="3" t="s">
        <v>150</v>
      </c>
    </row>
    <row r="36" spans="1:9" ht="15" customHeight="1" x14ac:dyDescent="0.3">
      <c r="A36" s="4" t="s">
        <v>152</v>
      </c>
      <c r="B36" s="17" t="s">
        <v>16</v>
      </c>
      <c r="C36" s="4" t="s">
        <v>151</v>
      </c>
      <c r="D36" s="11" t="s">
        <v>153</v>
      </c>
      <c r="E36" s="14">
        <v>1</v>
      </c>
      <c r="F36" s="15">
        <v>600.27</v>
      </c>
      <c r="G36" s="9">
        <f t="shared" si="1"/>
        <v>600.27</v>
      </c>
      <c r="H36" s="4"/>
      <c r="I36" s="3" t="s">
        <v>154</v>
      </c>
    </row>
    <row r="37" spans="1:9" ht="15" customHeight="1" x14ac:dyDescent="0.3">
      <c r="A37" s="4" t="s">
        <v>155</v>
      </c>
      <c r="B37" s="17" t="s">
        <v>16</v>
      </c>
      <c r="C37" s="4" t="s">
        <v>156</v>
      </c>
      <c r="D37" s="25" t="s">
        <v>157</v>
      </c>
      <c r="E37" s="14">
        <v>1</v>
      </c>
      <c r="F37" s="15">
        <v>20.84</v>
      </c>
      <c r="G37" s="9">
        <f t="shared" si="1"/>
        <v>20.84</v>
      </c>
      <c r="H37" s="4"/>
      <c r="I37" s="3" t="s">
        <v>158</v>
      </c>
    </row>
    <row r="38" spans="1:9" ht="15" customHeight="1" x14ac:dyDescent="0.3">
      <c r="A38" s="4" t="s">
        <v>159</v>
      </c>
      <c r="B38" s="17" t="s">
        <v>16</v>
      </c>
      <c r="C38" s="4" t="s">
        <v>160</v>
      </c>
      <c r="D38" s="24" t="s">
        <v>161</v>
      </c>
      <c r="E38" s="14">
        <v>1</v>
      </c>
      <c r="F38" s="15">
        <v>1270</v>
      </c>
      <c r="G38" s="9">
        <v>1270</v>
      </c>
      <c r="H38" s="4"/>
      <c r="I38" s="3" t="s">
        <v>162</v>
      </c>
    </row>
    <row r="39" spans="1:9" ht="28.95" customHeight="1" x14ac:dyDescent="0.3">
      <c r="A39" s="4" t="s">
        <v>170</v>
      </c>
      <c r="B39" s="21" t="s">
        <v>16</v>
      </c>
      <c r="C39" s="4" t="s">
        <v>163</v>
      </c>
      <c r="D39" s="26" t="s">
        <v>164</v>
      </c>
      <c r="E39" s="14">
        <v>1</v>
      </c>
      <c r="F39" s="15">
        <v>199.99</v>
      </c>
      <c r="G39" s="9">
        <v>199.99</v>
      </c>
      <c r="H39" s="4"/>
      <c r="I39" s="3" t="s">
        <v>165</v>
      </c>
    </row>
    <row r="40" spans="1:9" ht="25.95" customHeight="1" x14ac:dyDescent="0.3">
      <c r="A40" s="4" t="s">
        <v>166</v>
      </c>
      <c r="B40" s="21" t="s">
        <v>16</v>
      </c>
      <c r="C40" s="4" t="s">
        <v>167</v>
      </c>
      <c r="D40" s="26" t="s">
        <v>168</v>
      </c>
      <c r="E40" s="14">
        <v>1</v>
      </c>
      <c r="F40" s="15">
        <v>134.65</v>
      </c>
      <c r="G40" s="9">
        <v>134.65</v>
      </c>
      <c r="H40" s="4"/>
      <c r="I40" s="3" t="s">
        <v>169</v>
      </c>
    </row>
    <row r="41" spans="1:9" ht="16.95" customHeight="1" x14ac:dyDescent="0.3">
      <c r="A41" s="19" t="s">
        <v>174</v>
      </c>
      <c r="B41" s="21" t="s">
        <v>16</v>
      </c>
      <c r="C41" s="4" t="s">
        <v>171</v>
      </c>
      <c r="D41" s="26"/>
      <c r="E41" s="14">
        <v>1</v>
      </c>
      <c r="F41" s="15"/>
      <c r="G41" s="9"/>
      <c r="H41" s="4"/>
      <c r="I41" s="3"/>
    </row>
    <row r="42" spans="1:9" ht="17.399999999999999" customHeight="1" x14ac:dyDescent="0.3">
      <c r="A42" s="4" t="s">
        <v>173</v>
      </c>
      <c r="B42" s="21" t="s">
        <v>16</v>
      </c>
      <c r="C42" s="4" t="s">
        <v>172</v>
      </c>
      <c r="D42" s="26"/>
      <c r="E42" s="14">
        <v>1</v>
      </c>
      <c r="F42" s="15"/>
      <c r="G42" s="9"/>
      <c r="H42" s="4"/>
      <c r="I42" s="3"/>
    </row>
    <row r="43" spans="1:9" ht="17.399999999999999" customHeight="1" x14ac:dyDescent="0.3">
      <c r="A43" t="s">
        <v>175</v>
      </c>
      <c r="B43" s="17" t="s">
        <v>36</v>
      </c>
      <c r="C43" t="s">
        <v>177</v>
      </c>
      <c r="D43" t="s">
        <v>176</v>
      </c>
      <c r="E43" s="14">
        <v>1</v>
      </c>
      <c r="F43" s="15" t="s">
        <v>178</v>
      </c>
      <c r="G43" s="23" t="s">
        <v>178</v>
      </c>
      <c r="H43" s="4"/>
      <c r="I43" s="3" t="s">
        <v>187</v>
      </c>
    </row>
    <row r="44" spans="1:9" ht="17.399999999999999" customHeight="1" x14ac:dyDescent="0.3">
      <c r="A44" t="s">
        <v>179</v>
      </c>
      <c r="B44" s="21" t="s">
        <v>180</v>
      </c>
      <c r="C44" t="s">
        <v>182</v>
      </c>
      <c r="D44" t="s">
        <v>181</v>
      </c>
      <c r="E44" s="14">
        <v>1</v>
      </c>
      <c r="F44" s="15">
        <v>1725.15</v>
      </c>
      <c r="G44" s="9">
        <v>1725.15</v>
      </c>
      <c r="H44" s="4"/>
      <c r="I44" s="3" t="s">
        <v>183</v>
      </c>
    </row>
    <row r="45" spans="1:9" ht="17.399999999999999" customHeight="1" x14ac:dyDescent="0.3">
      <c r="A45" t="s">
        <v>179</v>
      </c>
      <c r="B45" s="17" t="s">
        <v>36</v>
      </c>
      <c r="C45" t="s">
        <v>184</v>
      </c>
      <c r="D45" s="26" t="s">
        <v>185</v>
      </c>
      <c r="E45" s="14">
        <v>1</v>
      </c>
      <c r="F45" s="15" t="s">
        <v>178</v>
      </c>
      <c r="G45" s="23" t="s">
        <v>178</v>
      </c>
      <c r="H45" s="4"/>
      <c r="I45" s="3" t="s">
        <v>186</v>
      </c>
    </row>
    <row r="46" spans="1:9" ht="17.399999999999999" customHeight="1" x14ac:dyDescent="0.3">
      <c r="B46" s="17"/>
      <c r="D46" s="26"/>
      <c r="E46" s="14"/>
      <c r="F46" s="15"/>
      <c r="G46" s="23"/>
      <c r="H46" s="4"/>
      <c r="I46" s="3"/>
    </row>
    <row r="47" spans="1:9" x14ac:dyDescent="0.3">
      <c r="F47" s="7" t="s">
        <v>7</v>
      </c>
      <c r="G47" s="5">
        <f>SUM(G2:G45)</f>
        <v>36500.17</v>
      </c>
    </row>
  </sheetData>
  <phoneticPr fontId="3" type="noConversion"/>
  <hyperlinks>
    <hyperlink ref="I2" r:id="rId1" xr:uid="{755CDB9E-DA93-4B70-9710-BE1D1CAFA34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hossein sharifi</cp:lastModifiedBy>
  <cp:lastPrinted>2025-05-01T19:35:57Z</cp:lastPrinted>
  <dcterms:created xsi:type="dcterms:W3CDTF">2025-03-06T14:44:50Z</dcterms:created>
  <dcterms:modified xsi:type="dcterms:W3CDTF">2026-10-12T18:49:07Z</dcterms:modified>
</cp:coreProperties>
</file>